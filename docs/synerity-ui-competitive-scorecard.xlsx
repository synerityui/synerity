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card" sheetId="1" r:id="rId5"/>
    <sheet state="visible" name="Legend" sheetId="2" r:id="rId6"/>
    <sheet state="visible" name="synerity-ui Principles" sheetId="3" r:id="rId7"/>
  </sheets>
  <definedNames/>
  <calcPr/>
</workbook>
</file>

<file path=xl/sharedStrings.xml><?xml version="1.0" encoding="utf-8"?>
<sst xmlns="http://schemas.openxmlformats.org/spreadsheetml/2006/main" count="150" uniqueCount="115">
  <si>
    <t>Library</t>
  </si>
  <si>
    <t>Category</t>
  </si>
  <si>
    <t>License</t>
  </si>
  <si>
    <t>Weekly DLs (M)</t>
  </si>
  <si>
    <t>Components</t>
  </si>
  <si>
    <t>Bundle gz (KB, est.)</t>
  </si>
  <si>
    <t>TypeScript</t>
  </si>
  <si>
    <t>Accessibility (WCAG)</t>
  </si>
  <si>
    <t>Theming/Tokens</t>
  </si>
  <si>
    <t>Customization</t>
  </si>
  <si>
    <t>RTL</t>
  </si>
  <si>
    <t>RSC / SSR</t>
  </si>
  <si>
    <t>Zero-runtime CSS</t>
  </si>
  <si>
    <t>Forms</t>
  </si>
  <si>
    <t>Data Grid</t>
  </si>
  <si>
    <t>Date/Time</t>
  </si>
  <si>
    <t>Combobox virtualization</t>
  </si>
  <si>
    <t>Density (compact)</t>
  </si>
  <si>
    <t>Migration pain</t>
  </si>
  <si>
    <t>Docs quality</t>
  </si>
  <si>
    <t>Distribution</t>
  </si>
  <si>
    <t>Composite (1-5)</t>
  </si>
  <si>
    <t>Notes</t>
  </si>
  <si>
    <t>MUI (Material UI)</t>
  </si>
  <si>
    <t>Top-tier</t>
  </si>
  <si>
    <t>MIT</t>
  </si>
  <si>
    <t>Dominant install base (10x Mantine). Emotion runtime + sx prop add overhead; full lib ~300KB gz; DataGrid alone 90KB+. Painful v5→v6→v7 migrations. RSC requires workarounds. Strong DataGrid &amp; DatePicker (paid X tiers).</t>
  </si>
  <si>
    <t>Ant Design</t>
  </si>
  <si>
    <t>Rich enterprise feature set (forms, table) but rigid Ant aesthetic. Large bundle, reports of frame-blocking renders on heavy pages. Hard to re-brand; less-based theming feels dated; major-version upgrades break.</t>
  </si>
  <si>
    <t>Chakra UI</t>
  </si>
  <si>
    <t>Excellent a11y + style-prop DX. v3 broke nearly every API (many teams stuck on v2). No data grid, date picker, rich text — push to third-party. Emotion runtime; not RSC-friendly.</t>
  </si>
  <si>
    <t>Mantine</t>
  </si>
  <si>
    <t>Strongest all-rounder in 2026. CSS Modules → no runtime cost, RSC-friendly. 120+ components, hooks, forms, dates, notifications built-in. Smaller community than MUI; data grid is community/third-party.</t>
  </si>
  <si>
    <t>shadcn/ui</t>
  </si>
  <si>
    <t>N/A</t>
  </si>
  <si>
    <t>varies</t>
  </si>
  <si>
    <t>Copy-paste recipes over Radix + Tailwind. Maximum control but you own the maintenance. No 'npm update' to fix bugs. Smaller catalog; data grid/charts are external. Excellent for RSC.</t>
  </si>
  <si>
    <t>Radix UI Primitives</t>
  </si>
  <si>
    <t>Headless</t>
  </si>
  <si>
    <t>Foundational primitives behind shadcn. Excellent composition (Dialog.Root/.Trigger/.Content). Missing components: Combobox, Date Picker, Table, Toast still maturing. Some API inconsistencies across primitives.</t>
  </si>
  <si>
    <t>Headless UI</t>
  </si>
  <si>
    <t>Tailwind Labs' minimal primitives. Smaller surface, less granular than Radix. Good for Tailwind shops, but ~15 components is a tight ceiling for a real product.</t>
  </si>
  <si>
    <t>React Aria Components</t>
  </si>
  <si>
    <t>Apache-2.0</t>
  </si>
  <si>
    <t>Adobe-built. Best-in-class i18n, RTL, mobile/touch &amp; screen-reader support. Strict ARIA spec interpretation can feel inflexible — limited escape hatches. Steeper learning curve.</t>
  </si>
  <si>
    <t>Ark UI</t>
  </si>
  <si>
    <t>Multi-framework (React/Vue/Solid) via XState state machines. Predictable behavior, but state-machine model adds cognitive overhead and a runtime cost vs. plain hooks.</t>
  </si>
  <si>
    <t>Fluent UI v9</t>
  </si>
  <si>
    <t>Enterprise</t>
  </si>
  <si>
    <t>Microsoft's design system. v0/v8/v9 fragmentation — SPFx still on v8. v9 perf &amp; a11y much better than v8. Outside-Microsoft adoption is limited; visual identity hard to escape.</t>
  </si>
  <si>
    <t>IBM Carbon (@carbon/react)</t>
  </si>
  <si>
    <t>Modular (@carbon/icons, /charts, /styles). Strong tokens, Figma alignment, AAA-leaning a11y. Heavy IBM aesthetic; Sass-first; opinionated grid; not designed for re-skinning.</t>
  </si>
  <si>
    <t>Shopify Polaris</t>
  </si>
  <si>
    <t>MIT (with use restriction)</t>
  </si>
  <si>
    <t>License restricts use to Shopify-integrating apps. polaris-react is deprecated; Shopify is moving to Polaris Web Components (Oct 2025). Not a candidate for general-purpose use.</t>
  </si>
  <si>
    <t>Adobe Spectrum (React Spectrum)</t>
  </si>
  <si>
    <t>Built on React Aria. Industry-leading a11y, i18n, virtualization, touch/desktop. Spectrum visual identity is hard to escape; aimed at Adobe's product surface.</t>
  </si>
  <si>
    <t>Score</t>
  </si>
  <si>
    <t>Meaning</t>
  </si>
  <si>
    <t>Poor — significant gap or actively painful</t>
  </si>
  <si>
    <t>Below average — works but you'll fight it</t>
  </si>
  <si>
    <t>Adequate — typical for the category</t>
  </si>
  <si>
    <t>Strong — clearly above the median</t>
  </si>
  <si>
    <t>Best-in-class for this dimension</t>
  </si>
  <si>
    <t>Dimension does not apply (e.g., headless libs don't ship a token system)</t>
  </si>
  <si>
    <t>Notes on specific dimensions</t>
  </si>
  <si>
    <t>5 = stable, predictable upgrades. 1 = major-version churn, breaking renames.</t>
  </si>
  <si>
    <t>5 = both npm-installable AND copy-pasteable. 1 = locked to a single delivery model.</t>
  </si>
  <si>
    <t>5 = no 'use client' needed for styling, no hydration mismatches. 1 = client-only.</t>
  </si>
  <si>
    <t>Rough order of magnitude when importing the typical 'starter' surface (Button + a few inputs + Modal). Real numbers depend on tree-shaking &amp; bundler.</t>
  </si>
  <si>
    <t>Plain AVERAGE of the 15 numeric score columns. Equal weighting — adjust manually for your team's priorities.</t>
  </si>
  <si>
    <t>Principle</t>
  </si>
  <si>
    <t>What it means in @synerity/ui</t>
  </si>
  <si>
    <t>Which pain point it addresses</t>
  </si>
  <si>
    <t>Headless-first, styled-on-top</t>
  </si>
  <si>
    <t>Ship two layers: @synerity/headless (logic + a11y, zero CSS) and @synerity/ui (token-driven default skin). Either can be used alone.</t>
  </si>
  <si>
    <t>MUI / Ant rigidity; shadcn copy-paste burden; Radix lack of styling</t>
  </si>
  <si>
    <t>CSS variables + CSS Modules / Vanilla Extract. No Emotion/styled-components in the hot path.</t>
  </si>
  <si>
    <t>MUI sx overhead, Chakra Emotion cost, RSC compatibility</t>
  </si>
  <si>
    <t>WCAG 2.2 AA verified per release</t>
  </si>
  <si>
    <t>Every release runs axe + Playwright keyboard + screen-reader smoke tests in CI; results published.</t>
  </si>
  <si>
    <t>Inconsistent a11y across MUI/Ant/Mantine</t>
  </si>
  <si>
    <t>Strict TS with discriminated unions</t>
  </si>
  <si>
    <t>Variants are types, not strings — the compiler stops illegal combinations (e.g., Button loading + asChild).</t>
  </si>
  <si>
    <t>Loose any-laden types in older libs</t>
  </si>
  <si>
    <t>RSC-native</t>
  </si>
  <si>
    <t>Server-renderable by default. 'use client' only on components that genuinely need state (Dialog, Combobox).</t>
  </si>
  <si>
    <t>MUI/Chakra Emotion blocks RSC; Mantine is the bar to beat</t>
  </si>
  <si>
    <t>Token system, not theme objects</t>
  </si>
  <si>
    <t>Two-tier tokens (primitive → semantic) shipped as CSS vars. Re-skin = override CSS vars, no provider rebuild.</t>
  </si>
  <si>
    <t>MUI theme prop drilling; Carbon/Polaris hard-coded look</t>
  </si>
  <si>
    <t>Density built in</t>
  </si>
  <si>
    <t>Each surface accepts a 'density' prop ('comfortable' | 'compact'). Tokens, not magic numbers.</t>
  </si>
  <si>
    <t>Most libs require manual padding overrides for dense apps</t>
  </si>
  <si>
    <t>RTL via logical properties</t>
  </si>
  <si>
    <t>All internal CSS uses inline-size, padding-inline-start, etc. No JS swapping.</t>
  </si>
  <si>
    <t>Patchy RTL in Chakra, Mantine</t>
  </si>
  <si>
    <t>Composition primitives</t>
  </si>
  <si>
    <t>Slot pattern (asChild) on every interactive surface. Render-prop escape hatches everywhere.</t>
  </si>
  <si>
    <t>Headless UI is too closed; MUI components are 'god objects'</t>
  </si>
  <si>
    <t>Stable API + codemods</t>
  </si>
  <si>
    <t>SemVer enforced; every breaking change ships a jscodeshift migration.</t>
  </si>
  <si>
    <t>MUI v5→v6→v7, Chakra v2→v3, Ant major churn</t>
  </si>
  <si>
    <t>Dual distribution</t>
  </si>
  <si>
    <t>Installable as npm package AND CLI-driven copy-paste recipes. Pick per-component.</t>
  </si>
  <si>
    <t>shadcn 'all or nothing copy'; npm libs 'all or nothing install'</t>
  </si>
  <si>
    <t>Forms contract, not a forms framework</t>
  </si>
  <si>
    <t>Inputs implement the standard {value, onChange, onBlur, name, ref} contract — works with React Hook Form, TanStack Form, Formik unchanged.</t>
  </si>
  <si>
    <t>Ant Form lock-in, Mantine forms lock-in</t>
  </si>
  <si>
    <t>Virtualized by default where it matters</t>
  </si>
  <si>
    <t>Combobox, Select, Table, Listbox virtualize past N rows automatically.</t>
  </si>
  <si>
    <t>MUI Autocomplete chokes &gt;1k items; Radix has no combobox</t>
  </si>
  <si>
    <t>Documented bundle budgets</t>
  </si>
  <si>
    <t>Each component publishes its gz cost. Imports are path-based and tree-shake-verified in CI.</t>
  </si>
  <si>
    <t>MUI/Ant bundle creep across versions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</si>
</sst>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1.0"/>
      <color rgb="FFFFFFFF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3">
    <border/>
    <border>
      <left/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3" numFmtId="2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6.0"/>
    <col customWidth="1" min="2" max="2" width="14.0"/>
    <col customWidth="1" min="3" max="3" width="16.0"/>
    <col customWidth="1" min="4" max="4" width="13.0"/>
    <col customWidth="1" min="5" max="5" width="12.0"/>
    <col customWidth="1" min="6" max="6" width="17.0"/>
    <col customWidth="1" min="7" max="7" width="11.0"/>
    <col customWidth="1" min="8" max="8" width="18.0"/>
    <col customWidth="1" min="9" max="9" width="14.0"/>
    <col customWidth="1" min="10" max="10" width="13.0"/>
    <col customWidth="1" min="11" max="11" width="8.0"/>
    <col customWidth="1" min="12" max="12" width="11.0"/>
    <col customWidth="1" min="13" max="13" width="16.0"/>
    <col customWidth="1" min="14" max="14" width="8.0"/>
    <col customWidth="1" min="15" max="16" width="10.0"/>
    <col customWidth="1" min="17" max="17" width="22.0"/>
    <col customWidth="1" min="18" max="18" width="17.0"/>
    <col customWidth="1" min="19" max="19" width="14.0"/>
    <col customWidth="1" min="20" max="21" width="13.0"/>
    <col customWidth="1" min="22" max="22" width="15.0"/>
    <col customWidth="1" min="23" max="23" width="70.0"/>
    <col customWidth="1" min="24" max="26" width="8.71"/>
  </cols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69.75" customHeight="1">
      <c r="A2" s="2" t="s">
        <v>23</v>
      </c>
      <c r="B2" s="3" t="s">
        <v>24</v>
      </c>
      <c r="C2" s="3" t="s">
        <v>25</v>
      </c>
      <c r="D2" s="3">
        <v>6.7</v>
      </c>
      <c r="E2" s="3">
        <v>100.0</v>
      </c>
      <c r="F2" s="3">
        <v>200.0</v>
      </c>
      <c r="G2" s="3">
        <v>4.0</v>
      </c>
      <c r="H2" s="3">
        <v>4.0</v>
      </c>
      <c r="I2" s="3">
        <v>3.0</v>
      </c>
      <c r="J2" s="3">
        <v>3.0</v>
      </c>
      <c r="K2" s="3">
        <v>4.0</v>
      </c>
      <c r="L2" s="3">
        <v>2.0</v>
      </c>
      <c r="M2" s="3">
        <v>1.0</v>
      </c>
      <c r="N2" s="3">
        <v>4.0</v>
      </c>
      <c r="O2" s="3">
        <v>5.0</v>
      </c>
      <c r="P2" s="3">
        <v>5.0</v>
      </c>
      <c r="Q2" s="3">
        <v>3.0</v>
      </c>
      <c r="R2" s="3">
        <v>4.0</v>
      </c>
      <c r="S2" s="3">
        <v>2.0</v>
      </c>
      <c r="T2" s="3">
        <v>5.0</v>
      </c>
      <c r="U2" s="3">
        <v>4.0</v>
      </c>
      <c r="V2" s="4">
        <f t="shared" ref="V2:V14" si="1">IFERROR(ROUND(AVERAGE(G2,H2,I2,J2,K2,L2,M2,N2,O2,P2,Q2,R2,S2,T2,U2),2),"")</f>
        <v>3.53</v>
      </c>
      <c r="W2" s="2" t="s">
        <v>26</v>
      </c>
    </row>
    <row r="3" ht="69.75" customHeight="1">
      <c r="A3" s="2" t="s">
        <v>27</v>
      </c>
      <c r="B3" s="3" t="s">
        <v>24</v>
      </c>
      <c r="C3" s="3" t="s">
        <v>25</v>
      </c>
      <c r="D3" s="3">
        <v>1.4</v>
      </c>
      <c r="E3" s="3">
        <v>65.0</v>
      </c>
      <c r="F3" s="3">
        <v>350.0</v>
      </c>
      <c r="G3" s="3">
        <v>4.0</v>
      </c>
      <c r="H3" s="3">
        <v>3.0</v>
      </c>
      <c r="I3" s="3">
        <v>4.0</v>
      </c>
      <c r="J3" s="3">
        <v>2.0</v>
      </c>
      <c r="K3" s="3">
        <v>4.0</v>
      </c>
      <c r="L3" s="3">
        <v>2.0</v>
      </c>
      <c r="M3" s="3">
        <v>2.0</v>
      </c>
      <c r="N3" s="3">
        <v>5.0</v>
      </c>
      <c r="O3" s="3">
        <v>4.0</v>
      </c>
      <c r="P3" s="3">
        <v>4.0</v>
      </c>
      <c r="Q3" s="3">
        <v>3.0</v>
      </c>
      <c r="R3" s="3">
        <v>4.0</v>
      </c>
      <c r="S3" s="3">
        <v>2.0</v>
      </c>
      <c r="T3" s="3">
        <v>4.0</v>
      </c>
      <c r="U3" s="3">
        <v>4.0</v>
      </c>
      <c r="V3" s="4">
        <f t="shared" si="1"/>
        <v>3.4</v>
      </c>
      <c r="W3" s="2" t="s">
        <v>28</v>
      </c>
    </row>
    <row r="4" ht="69.75" customHeight="1">
      <c r="A4" s="2" t="s">
        <v>29</v>
      </c>
      <c r="B4" s="3" t="s">
        <v>24</v>
      </c>
      <c r="C4" s="3" t="s">
        <v>25</v>
      </c>
      <c r="D4" s="3">
        <v>0.59</v>
      </c>
      <c r="E4" s="3">
        <v>60.0</v>
      </c>
      <c r="F4" s="3">
        <v>120.0</v>
      </c>
      <c r="G4" s="3">
        <v>4.0</v>
      </c>
      <c r="H4" s="3">
        <v>5.0</v>
      </c>
      <c r="I4" s="3">
        <v>4.0</v>
      </c>
      <c r="J4" s="3">
        <v>4.0</v>
      </c>
      <c r="K4" s="3">
        <v>3.0</v>
      </c>
      <c r="L4" s="3">
        <v>2.0</v>
      </c>
      <c r="M4" s="3">
        <v>1.0</v>
      </c>
      <c r="N4" s="3">
        <v>3.0</v>
      </c>
      <c r="O4" s="3">
        <v>1.0</v>
      </c>
      <c r="P4" s="3">
        <v>1.0</v>
      </c>
      <c r="Q4" s="3">
        <v>2.0</v>
      </c>
      <c r="R4" s="3">
        <v>3.0</v>
      </c>
      <c r="S4" s="3">
        <v>1.0</v>
      </c>
      <c r="T4" s="3">
        <v>4.0</v>
      </c>
      <c r="U4" s="3">
        <v>4.0</v>
      </c>
      <c r="V4" s="4">
        <f t="shared" si="1"/>
        <v>2.8</v>
      </c>
      <c r="W4" s="2" t="s">
        <v>30</v>
      </c>
    </row>
    <row r="5" ht="69.75" customHeight="1">
      <c r="A5" s="2" t="s">
        <v>31</v>
      </c>
      <c r="B5" s="3" t="s">
        <v>24</v>
      </c>
      <c r="C5" s="3" t="s">
        <v>25</v>
      </c>
      <c r="D5" s="3">
        <v>0.7</v>
      </c>
      <c r="E5" s="3">
        <v>120.0</v>
      </c>
      <c r="F5" s="3">
        <v>100.0</v>
      </c>
      <c r="G5" s="3">
        <v>5.0</v>
      </c>
      <c r="H5" s="3">
        <v>4.0</v>
      </c>
      <c r="I5" s="3">
        <v>4.0</v>
      </c>
      <c r="J5" s="3">
        <v>4.0</v>
      </c>
      <c r="K5" s="3">
        <v>3.0</v>
      </c>
      <c r="L5" s="3">
        <v>4.0</v>
      </c>
      <c r="M5" s="3">
        <v>5.0</v>
      </c>
      <c r="N5" s="3">
        <v>5.0</v>
      </c>
      <c r="O5" s="3">
        <v>3.0</v>
      </c>
      <c r="P5" s="3">
        <v>5.0</v>
      </c>
      <c r="Q5" s="3">
        <v>4.0</v>
      </c>
      <c r="R5" s="3">
        <v>3.0</v>
      </c>
      <c r="S5" s="3">
        <v>3.0</v>
      </c>
      <c r="T5" s="3">
        <v>5.0</v>
      </c>
      <c r="U5" s="3">
        <v>4.0</v>
      </c>
      <c r="V5" s="4">
        <f t="shared" si="1"/>
        <v>4.07</v>
      </c>
      <c r="W5" s="2" t="s">
        <v>32</v>
      </c>
    </row>
    <row r="6" ht="69.75" customHeight="1">
      <c r="A6" s="2" t="s">
        <v>33</v>
      </c>
      <c r="B6" s="3" t="s">
        <v>24</v>
      </c>
      <c r="C6" s="3" t="s">
        <v>25</v>
      </c>
      <c r="D6" s="3" t="s">
        <v>34</v>
      </c>
      <c r="E6" s="3">
        <v>50.0</v>
      </c>
      <c r="F6" s="3" t="s">
        <v>35</v>
      </c>
      <c r="G6" s="3">
        <v>4.0</v>
      </c>
      <c r="H6" s="3">
        <v>4.0</v>
      </c>
      <c r="I6" s="3">
        <v>5.0</v>
      </c>
      <c r="J6" s="3">
        <v>5.0</v>
      </c>
      <c r="K6" s="3">
        <v>3.0</v>
      </c>
      <c r="L6" s="3">
        <v>5.0</v>
      </c>
      <c r="M6" s="3">
        <v>5.0</v>
      </c>
      <c r="N6" s="3">
        <v>3.0</v>
      </c>
      <c r="O6" s="3">
        <v>2.0</v>
      </c>
      <c r="P6" s="3">
        <v>3.0</v>
      </c>
      <c r="Q6" s="3">
        <v>2.0</v>
      </c>
      <c r="R6" s="3">
        <v>3.0</v>
      </c>
      <c r="S6" s="3">
        <v>2.0</v>
      </c>
      <c r="T6" s="3">
        <v>4.0</v>
      </c>
      <c r="U6" s="3">
        <v>5.0</v>
      </c>
      <c r="V6" s="4">
        <f t="shared" si="1"/>
        <v>3.67</v>
      </c>
      <c r="W6" s="2" t="s">
        <v>36</v>
      </c>
    </row>
    <row r="7" ht="69.75" customHeight="1">
      <c r="A7" s="2" t="s">
        <v>37</v>
      </c>
      <c r="B7" s="3" t="s">
        <v>38</v>
      </c>
      <c r="C7" s="3" t="s">
        <v>25</v>
      </c>
      <c r="D7" s="3">
        <v>8.0</v>
      </c>
      <c r="E7" s="3">
        <v>35.0</v>
      </c>
      <c r="F7" s="3">
        <v>30.0</v>
      </c>
      <c r="G7" s="3">
        <v>5.0</v>
      </c>
      <c r="H7" s="3">
        <v>5.0</v>
      </c>
      <c r="I7" s="3" t="s">
        <v>34</v>
      </c>
      <c r="J7" s="3">
        <v>5.0</v>
      </c>
      <c r="K7" s="3">
        <v>4.0</v>
      </c>
      <c r="L7" s="3">
        <v>5.0</v>
      </c>
      <c r="M7" s="3">
        <v>5.0</v>
      </c>
      <c r="N7" s="3">
        <v>3.0</v>
      </c>
      <c r="O7" s="3">
        <v>1.0</v>
      </c>
      <c r="P7" s="3">
        <v>1.0</v>
      </c>
      <c r="Q7" s="3">
        <v>2.0</v>
      </c>
      <c r="R7" s="3" t="s">
        <v>34</v>
      </c>
      <c r="S7" s="3">
        <v>4.0</v>
      </c>
      <c r="T7" s="3">
        <v>5.0</v>
      </c>
      <c r="U7" s="3">
        <v>5.0</v>
      </c>
      <c r="V7" s="4">
        <f t="shared" si="1"/>
        <v>3.85</v>
      </c>
      <c r="W7" s="2" t="s">
        <v>39</v>
      </c>
    </row>
    <row r="8" ht="69.75" customHeight="1">
      <c r="A8" s="2" t="s">
        <v>40</v>
      </c>
      <c r="B8" s="3" t="s">
        <v>38</v>
      </c>
      <c r="C8" s="3" t="s">
        <v>25</v>
      </c>
      <c r="D8" s="3">
        <v>1.6</v>
      </c>
      <c r="E8" s="3">
        <v>15.0</v>
      </c>
      <c r="F8" s="3">
        <v>25.0</v>
      </c>
      <c r="G8" s="3">
        <v>4.0</v>
      </c>
      <c r="H8" s="3">
        <v>4.0</v>
      </c>
      <c r="I8" s="3" t="s">
        <v>34</v>
      </c>
      <c r="J8" s="3">
        <v>5.0</v>
      </c>
      <c r="K8" s="3">
        <v>3.0</v>
      </c>
      <c r="L8" s="3">
        <v>4.0</v>
      </c>
      <c r="M8" s="3">
        <v>5.0</v>
      </c>
      <c r="N8" s="3">
        <v>2.0</v>
      </c>
      <c r="O8" s="3">
        <v>1.0</v>
      </c>
      <c r="P8" s="3">
        <v>1.0</v>
      </c>
      <c r="Q8" s="3">
        <v>3.0</v>
      </c>
      <c r="R8" s="3" t="s">
        <v>34</v>
      </c>
      <c r="S8" s="3">
        <v>4.0</v>
      </c>
      <c r="T8" s="3">
        <v>4.0</v>
      </c>
      <c r="U8" s="3">
        <v>4.0</v>
      </c>
      <c r="V8" s="4">
        <f t="shared" si="1"/>
        <v>3.38</v>
      </c>
      <c r="W8" s="2" t="s">
        <v>41</v>
      </c>
    </row>
    <row r="9" ht="69.75" customHeight="1">
      <c r="A9" s="2" t="s">
        <v>42</v>
      </c>
      <c r="B9" s="3" t="s">
        <v>38</v>
      </c>
      <c r="C9" s="3" t="s">
        <v>43</v>
      </c>
      <c r="D9" s="3">
        <v>0.5</v>
      </c>
      <c r="E9" s="3">
        <v>40.0</v>
      </c>
      <c r="F9" s="3">
        <v>60.0</v>
      </c>
      <c r="G9" s="3">
        <v>5.0</v>
      </c>
      <c r="H9" s="3">
        <v>5.0</v>
      </c>
      <c r="I9" s="3" t="s">
        <v>34</v>
      </c>
      <c r="J9" s="3">
        <v>5.0</v>
      </c>
      <c r="K9" s="3">
        <v>5.0</v>
      </c>
      <c r="L9" s="3">
        <v>4.0</v>
      </c>
      <c r="M9" s="3">
        <v>5.0</v>
      </c>
      <c r="N9" s="3">
        <v>4.0</v>
      </c>
      <c r="O9" s="3">
        <v>4.0</v>
      </c>
      <c r="P9" s="3">
        <v>5.0</v>
      </c>
      <c r="Q9" s="3">
        <v>4.0</v>
      </c>
      <c r="R9" s="3" t="s">
        <v>34</v>
      </c>
      <c r="S9" s="3">
        <v>4.0</v>
      </c>
      <c r="T9" s="3">
        <v>4.0</v>
      </c>
      <c r="U9" s="3">
        <v>4.0</v>
      </c>
      <c r="V9" s="4">
        <f t="shared" si="1"/>
        <v>4.46</v>
      </c>
      <c r="W9" s="2" t="s">
        <v>44</v>
      </c>
    </row>
    <row r="10" ht="69.75" customHeight="1">
      <c r="A10" s="2" t="s">
        <v>45</v>
      </c>
      <c r="B10" s="3" t="s">
        <v>38</v>
      </c>
      <c r="C10" s="3" t="s">
        <v>25</v>
      </c>
      <c r="D10" s="3">
        <v>0.15</v>
      </c>
      <c r="E10" s="3">
        <v>45.0</v>
      </c>
      <c r="F10" s="3">
        <v>70.0</v>
      </c>
      <c r="G10" s="3">
        <v>5.0</v>
      </c>
      <c r="H10" s="3">
        <v>4.0</v>
      </c>
      <c r="I10" s="3" t="s">
        <v>34</v>
      </c>
      <c r="J10" s="3">
        <v>5.0</v>
      </c>
      <c r="K10" s="3">
        <v>4.0</v>
      </c>
      <c r="L10" s="3">
        <v>4.0</v>
      </c>
      <c r="M10" s="3">
        <v>5.0</v>
      </c>
      <c r="N10" s="3">
        <v>3.0</v>
      </c>
      <c r="O10" s="3">
        <v>2.0</v>
      </c>
      <c r="P10" s="3">
        <v>4.0</v>
      </c>
      <c r="Q10" s="3">
        <v>3.0</v>
      </c>
      <c r="R10" s="3" t="s">
        <v>34</v>
      </c>
      <c r="S10" s="3">
        <v>3.0</v>
      </c>
      <c r="T10" s="3">
        <v>4.0</v>
      </c>
      <c r="U10" s="3">
        <v>4.0</v>
      </c>
      <c r="V10" s="4">
        <f t="shared" si="1"/>
        <v>3.85</v>
      </c>
      <c r="W10" s="2" t="s">
        <v>46</v>
      </c>
    </row>
    <row r="11" ht="69.75" customHeight="1">
      <c r="A11" s="2" t="s">
        <v>47</v>
      </c>
      <c r="B11" s="3" t="s">
        <v>48</v>
      </c>
      <c r="C11" s="3" t="s">
        <v>25</v>
      </c>
      <c r="D11" s="3">
        <v>0.4</v>
      </c>
      <c r="E11" s="3">
        <v>80.0</v>
      </c>
      <c r="F11" s="3">
        <v>180.0</v>
      </c>
      <c r="G11" s="3">
        <v>5.0</v>
      </c>
      <c r="H11" s="3">
        <v>5.0</v>
      </c>
      <c r="I11" s="3">
        <v>5.0</v>
      </c>
      <c r="J11" s="3">
        <v>3.0</v>
      </c>
      <c r="K11" s="3">
        <v>5.0</v>
      </c>
      <c r="L11" s="3">
        <v>3.0</v>
      </c>
      <c r="M11" s="3">
        <v>4.0</v>
      </c>
      <c r="N11" s="3">
        <v>3.0</v>
      </c>
      <c r="O11" s="3">
        <v>5.0</v>
      </c>
      <c r="P11" s="3">
        <v>4.0</v>
      </c>
      <c r="Q11" s="3">
        <v>4.0</v>
      </c>
      <c r="R11" s="3">
        <v>5.0</v>
      </c>
      <c r="S11" s="3">
        <v>1.0</v>
      </c>
      <c r="T11" s="3">
        <v>4.0</v>
      </c>
      <c r="U11" s="3">
        <v>3.0</v>
      </c>
      <c r="V11" s="4">
        <f t="shared" si="1"/>
        <v>3.93</v>
      </c>
      <c r="W11" s="2" t="s">
        <v>49</v>
      </c>
    </row>
    <row r="12" ht="69.75" customHeight="1">
      <c r="A12" s="2" t="s">
        <v>50</v>
      </c>
      <c r="B12" s="3" t="s">
        <v>48</v>
      </c>
      <c r="C12" s="3" t="s">
        <v>43</v>
      </c>
      <c r="D12" s="3">
        <v>0.08</v>
      </c>
      <c r="E12" s="3">
        <v>55.0</v>
      </c>
      <c r="F12" s="3">
        <v>250.0</v>
      </c>
      <c r="G12" s="3">
        <v>4.0</v>
      </c>
      <c r="H12" s="3">
        <v>5.0</v>
      </c>
      <c r="I12" s="3">
        <v>5.0</v>
      </c>
      <c r="J12" s="3">
        <v>3.0</v>
      </c>
      <c r="K12" s="3">
        <v>4.0</v>
      </c>
      <c r="L12" s="3">
        <v>3.0</v>
      </c>
      <c r="M12" s="3">
        <v>3.0</v>
      </c>
      <c r="N12" s="3">
        <v>4.0</v>
      </c>
      <c r="O12" s="3">
        <v>5.0</v>
      </c>
      <c r="P12" s="3">
        <v>4.0</v>
      </c>
      <c r="Q12" s="3">
        <v>3.0</v>
      </c>
      <c r="R12" s="3">
        <v>5.0</v>
      </c>
      <c r="S12" s="3">
        <v>3.0</v>
      </c>
      <c r="T12" s="3">
        <v>5.0</v>
      </c>
      <c r="U12" s="3">
        <v>4.0</v>
      </c>
      <c r="V12" s="4">
        <f t="shared" si="1"/>
        <v>4</v>
      </c>
      <c r="W12" s="2" t="s">
        <v>51</v>
      </c>
    </row>
    <row r="13" ht="69.75" customHeight="1">
      <c r="A13" s="2" t="s">
        <v>52</v>
      </c>
      <c r="B13" s="3" t="s">
        <v>48</v>
      </c>
      <c r="C13" s="3" t="s">
        <v>53</v>
      </c>
      <c r="D13" s="3">
        <v>0.06</v>
      </c>
      <c r="E13" s="3">
        <v>60.0</v>
      </c>
      <c r="F13" s="3">
        <v>200.0</v>
      </c>
      <c r="G13" s="3">
        <v>4.0</v>
      </c>
      <c r="H13" s="3">
        <v>5.0</v>
      </c>
      <c r="I13" s="3">
        <v>4.0</v>
      </c>
      <c r="J13" s="3">
        <v>2.0</v>
      </c>
      <c r="K13" s="3">
        <v>3.0</v>
      </c>
      <c r="L13" s="3">
        <v>3.0</v>
      </c>
      <c r="M13" s="3">
        <v>3.0</v>
      </c>
      <c r="N13" s="3">
        <v>4.0</v>
      </c>
      <c r="O13" s="3">
        <v>4.0</v>
      </c>
      <c r="P13" s="3">
        <v>3.0</v>
      </c>
      <c r="Q13" s="3">
        <v>2.0</v>
      </c>
      <c r="R13" s="3">
        <v>4.0</v>
      </c>
      <c r="S13" s="3">
        <v>2.0</v>
      </c>
      <c r="T13" s="3">
        <v>5.0</v>
      </c>
      <c r="U13" s="3">
        <v>2.0</v>
      </c>
      <c r="V13" s="4">
        <f t="shared" si="1"/>
        <v>3.33</v>
      </c>
      <c r="W13" s="2" t="s">
        <v>54</v>
      </c>
    </row>
    <row r="14" ht="69.75" customHeight="1">
      <c r="A14" s="2" t="s">
        <v>55</v>
      </c>
      <c r="B14" s="3" t="s">
        <v>48</v>
      </c>
      <c r="C14" s="3" t="s">
        <v>43</v>
      </c>
      <c r="D14" s="3">
        <v>0.09</v>
      </c>
      <c r="E14" s="3">
        <v>70.0</v>
      </c>
      <c r="F14" s="3">
        <v>220.0</v>
      </c>
      <c r="G14" s="3">
        <v>5.0</v>
      </c>
      <c r="H14" s="3">
        <v>5.0</v>
      </c>
      <c r="I14" s="3">
        <v>4.0</v>
      </c>
      <c r="J14" s="3">
        <v>2.0</v>
      </c>
      <c r="K14" s="3">
        <v>5.0</v>
      </c>
      <c r="L14" s="3">
        <v>3.0</v>
      </c>
      <c r="M14" s="3">
        <v>4.0</v>
      </c>
      <c r="N14" s="3">
        <v>4.0</v>
      </c>
      <c r="O14" s="3">
        <v>5.0</v>
      </c>
      <c r="P14" s="3">
        <v>5.0</v>
      </c>
      <c r="Q14" s="3">
        <v>5.0</v>
      </c>
      <c r="R14" s="3">
        <v>5.0</v>
      </c>
      <c r="S14" s="3">
        <v>4.0</v>
      </c>
      <c r="T14" s="3">
        <v>5.0</v>
      </c>
      <c r="U14" s="3">
        <v>3.0</v>
      </c>
      <c r="V14" s="4">
        <f t="shared" si="1"/>
        <v>4.27</v>
      </c>
      <c r="W14" s="2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2:G14">
    <cfRule type="colorScale" priority="1">
      <colorScale>
        <cfvo type="formula" val="1"/>
        <cfvo type="formula" val="3"/>
        <cfvo type="formula" val="5"/>
        <color rgb="FFF87171"/>
        <color rgb="FFFDE68A"/>
        <color rgb="FF86EFAC"/>
      </colorScale>
    </cfRule>
  </conditionalFormatting>
  <conditionalFormatting sqref="H2:H14">
    <cfRule type="colorScale" priority="2">
      <colorScale>
        <cfvo type="formula" val="1"/>
        <cfvo type="formula" val="3"/>
        <cfvo type="formula" val="5"/>
        <color rgb="FFF87171"/>
        <color rgb="FFFDE68A"/>
        <color rgb="FF86EFAC"/>
      </colorScale>
    </cfRule>
  </conditionalFormatting>
  <conditionalFormatting sqref="I2:I14">
    <cfRule type="colorScale" priority="3">
      <colorScale>
        <cfvo type="formula" val="1"/>
        <cfvo type="formula" val="3"/>
        <cfvo type="formula" val="5"/>
        <color rgb="FFF87171"/>
        <color rgb="FFFDE68A"/>
        <color rgb="FF86EFAC"/>
      </colorScale>
    </cfRule>
  </conditionalFormatting>
  <conditionalFormatting sqref="J2:J14">
    <cfRule type="colorScale" priority="4">
      <colorScale>
        <cfvo type="formula" val="1"/>
        <cfvo type="formula" val="3"/>
        <cfvo type="formula" val="5"/>
        <color rgb="FFF87171"/>
        <color rgb="FFFDE68A"/>
        <color rgb="FF86EFAC"/>
      </colorScale>
    </cfRule>
  </conditionalFormatting>
  <conditionalFormatting sqref="K2:K14">
    <cfRule type="colorScale" priority="5">
      <colorScale>
        <cfvo type="formula" val="1"/>
        <cfvo type="formula" val="3"/>
        <cfvo type="formula" val="5"/>
        <color rgb="FFF87171"/>
        <color rgb="FFFDE68A"/>
        <color rgb="FF86EFAC"/>
      </colorScale>
    </cfRule>
  </conditionalFormatting>
  <conditionalFormatting sqref="L2:L14">
    <cfRule type="colorScale" priority="6">
      <colorScale>
        <cfvo type="formula" val="1"/>
        <cfvo type="formula" val="3"/>
        <cfvo type="formula" val="5"/>
        <color rgb="FFF87171"/>
        <color rgb="FFFDE68A"/>
        <color rgb="FF86EFAC"/>
      </colorScale>
    </cfRule>
  </conditionalFormatting>
  <conditionalFormatting sqref="M2:M14">
    <cfRule type="colorScale" priority="7">
      <colorScale>
        <cfvo type="formula" val="1"/>
        <cfvo type="formula" val="3"/>
        <cfvo type="formula" val="5"/>
        <color rgb="FFF87171"/>
        <color rgb="FFFDE68A"/>
        <color rgb="FF86EFAC"/>
      </colorScale>
    </cfRule>
  </conditionalFormatting>
  <conditionalFormatting sqref="N2:N14">
    <cfRule type="colorScale" priority="8">
      <colorScale>
        <cfvo type="formula" val="1"/>
        <cfvo type="formula" val="3"/>
        <cfvo type="formula" val="5"/>
        <color rgb="FFF87171"/>
        <color rgb="FFFDE68A"/>
        <color rgb="FF86EFAC"/>
      </colorScale>
    </cfRule>
  </conditionalFormatting>
  <conditionalFormatting sqref="O2:O14">
    <cfRule type="colorScale" priority="9">
      <colorScale>
        <cfvo type="formula" val="1"/>
        <cfvo type="formula" val="3"/>
        <cfvo type="formula" val="5"/>
        <color rgb="FFF87171"/>
        <color rgb="FFFDE68A"/>
        <color rgb="FF86EFAC"/>
      </colorScale>
    </cfRule>
  </conditionalFormatting>
  <conditionalFormatting sqref="P2:P14">
    <cfRule type="colorScale" priority="10">
      <colorScale>
        <cfvo type="formula" val="1"/>
        <cfvo type="formula" val="3"/>
        <cfvo type="formula" val="5"/>
        <color rgb="FFF87171"/>
        <color rgb="FFFDE68A"/>
        <color rgb="FF86EFAC"/>
      </colorScale>
    </cfRule>
  </conditionalFormatting>
  <conditionalFormatting sqref="Q2:Q14">
    <cfRule type="colorScale" priority="11">
      <colorScale>
        <cfvo type="formula" val="1"/>
        <cfvo type="formula" val="3"/>
        <cfvo type="formula" val="5"/>
        <color rgb="FFF87171"/>
        <color rgb="FFFDE68A"/>
        <color rgb="FF86EFAC"/>
      </colorScale>
    </cfRule>
  </conditionalFormatting>
  <conditionalFormatting sqref="R2:R14">
    <cfRule type="colorScale" priority="12">
      <colorScale>
        <cfvo type="formula" val="1"/>
        <cfvo type="formula" val="3"/>
        <cfvo type="formula" val="5"/>
        <color rgb="FFF87171"/>
        <color rgb="FFFDE68A"/>
        <color rgb="FF86EFAC"/>
      </colorScale>
    </cfRule>
  </conditionalFormatting>
  <conditionalFormatting sqref="S2:S14">
    <cfRule type="colorScale" priority="13">
      <colorScale>
        <cfvo type="formula" val="1"/>
        <cfvo type="formula" val="3"/>
        <cfvo type="formula" val="5"/>
        <color rgb="FFF87171"/>
        <color rgb="FFFDE68A"/>
        <color rgb="FF86EFAC"/>
      </colorScale>
    </cfRule>
  </conditionalFormatting>
  <conditionalFormatting sqref="T2:T14">
    <cfRule type="colorScale" priority="14">
      <colorScale>
        <cfvo type="formula" val="1"/>
        <cfvo type="formula" val="3"/>
        <cfvo type="formula" val="5"/>
        <color rgb="FFF87171"/>
        <color rgb="FFFDE68A"/>
        <color rgb="FF86EFAC"/>
      </colorScale>
    </cfRule>
  </conditionalFormatting>
  <conditionalFormatting sqref="U2:U14">
    <cfRule type="colorScale" priority="15">
      <colorScale>
        <cfvo type="formula" val="1"/>
        <cfvo type="formula" val="3"/>
        <cfvo type="formula" val="5"/>
        <color rgb="FFF87171"/>
        <color rgb="FFFDE68A"/>
        <color rgb="FF86EFAC"/>
      </colorScale>
    </cfRule>
  </conditionalFormatting>
  <conditionalFormatting sqref="V2:V14">
    <cfRule type="colorScale" priority="16">
      <colorScale>
        <cfvo type="formula" val="2"/>
        <cfvo type="formula" val="3.5"/>
        <cfvo type="formula" val="4.5"/>
        <color rgb="FFF87171"/>
        <color rgb="FFFDE68A"/>
        <color rgb="FF34D399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90.0"/>
    <col customWidth="1" min="3" max="26" width="8.71"/>
  </cols>
  <sheetData>
    <row r="1">
      <c r="A1" s="5" t="s">
        <v>57</v>
      </c>
      <c r="B1" s="5" t="s">
        <v>58</v>
      </c>
    </row>
    <row r="2">
      <c r="A2" s="6">
        <v>1.0</v>
      </c>
      <c r="B2" s="6" t="s">
        <v>59</v>
      </c>
    </row>
    <row r="3">
      <c r="A3" s="6">
        <v>2.0</v>
      </c>
      <c r="B3" s="6" t="s">
        <v>60</v>
      </c>
    </row>
    <row r="4">
      <c r="A4" s="6">
        <v>3.0</v>
      </c>
      <c r="B4" s="6" t="s">
        <v>61</v>
      </c>
    </row>
    <row r="5">
      <c r="A5" s="6">
        <v>4.0</v>
      </c>
      <c r="B5" s="6" t="s">
        <v>62</v>
      </c>
    </row>
    <row r="6">
      <c r="A6" s="6">
        <v>5.0</v>
      </c>
      <c r="B6" s="6" t="s">
        <v>63</v>
      </c>
    </row>
    <row r="7">
      <c r="A7" s="6" t="s">
        <v>34</v>
      </c>
      <c r="B7" s="6" t="s">
        <v>64</v>
      </c>
    </row>
    <row r="8">
      <c r="A8" s="6"/>
      <c r="B8" s="6"/>
    </row>
    <row r="9">
      <c r="A9" s="5" t="s">
        <v>65</v>
      </c>
      <c r="B9" s="5"/>
    </row>
    <row r="10">
      <c r="A10" s="6" t="s">
        <v>18</v>
      </c>
      <c r="B10" s="6" t="s">
        <v>66</v>
      </c>
    </row>
    <row r="11">
      <c r="A11" s="6" t="s">
        <v>20</v>
      </c>
      <c r="B11" s="6" t="s">
        <v>67</v>
      </c>
    </row>
    <row r="12">
      <c r="A12" s="6" t="s">
        <v>11</v>
      </c>
      <c r="B12" s="6" t="s">
        <v>68</v>
      </c>
    </row>
    <row r="13">
      <c r="A13" s="6" t="s">
        <v>5</v>
      </c>
      <c r="B13" s="6" t="s">
        <v>69</v>
      </c>
    </row>
    <row r="14">
      <c r="A14" s="6" t="s">
        <v>21</v>
      </c>
      <c r="B14" s="6" t="s">
        <v>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80.0"/>
    <col customWidth="1" min="3" max="3" width="60.0"/>
    <col customWidth="1" min="4" max="26" width="8.71"/>
  </cols>
  <sheetData>
    <row r="1" ht="27.75" customHeight="1">
      <c r="A1" s="5" t="s">
        <v>71</v>
      </c>
      <c r="B1" s="5" t="s">
        <v>72</v>
      </c>
      <c r="C1" s="5" t="s">
        <v>73</v>
      </c>
    </row>
    <row r="2" ht="49.5" customHeight="1">
      <c r="A2" s="7" t="s">
        <v>74</v>
      </c>
      <c r="B2" s="7" t="s">
        <v>75</v>
      </c>
      <c r="C2" s="7" t="s">
        <v>76</v>
      </c>
    </row>
    <row r="3" ht="49.5" customHeight="1">
      <c r="A3" s="7" t="s">
        <v>12</v>
      </c>
      <c r="B3" s="7" t="s">
        <v>77</v>
      </c>
      <c r="C3" s="7" t="s">
        <v>78</v>
      </c>
    </row>
    <row r="4" ht="49.5" customHeight="1">
      <c r="A4" s="7" t="s">
        <v>79</v>
      </c>
      <c r="B4" s="7" t="s">
        <v>80</v>
      </c>
      <c r="C4" s="7" t="s">
        <v>81</v>
      </c>
    </row>
    <row r="5" ht="49.5" customHeight="1">
      <c r="A5" s="7" t="s">
        <v>82</v>
      </c>
      <c r="B5" s="7" t="s">
        <v>83</v>
      </c>
      <c r="C5" s="7" t="s">
        <v>84</v>
      </c>
    </row>
    <row r="6" ht="49.5" customHeight="1">
      <c r="A6" s="7" t="s">
        <v>85</v>
      </c>
      <c r="B6" s="7" t="s">
        <v>86</v>
      </c>
      <c r="C6" s="7" t="s">
        <v>87</v>
      </c>
    </row>
    <row r="7" ht="49.5" customHeight="1">
      <c r="A7" s="7" t="s">
        <v>88</v>
      </c>
      <c r="B7" s="7" t="s">
        <v>89</v>
      </c>
      <c r="C7" s="7" t="s">
        <v>90</v>
      </c>
    </row>
    <row r="8" ht="49.5" customHeight="1">
      <c r="A8" s="7" t="s">
        <v>91</v>
      </c>
      <c r="B8" s="7" t="s">
        <v>92</v>
      </c>
      <c r="C8" s="7" t="s">
        <v>93</v>
      </c>
    </row>
    <row r="9" ht="49.5" customHeight="1">
      <c r="A9" s="7" t="s">
        <v>94</v>
      </c>
      <c r="B9" s="7" t="s">
        <v>95</v>
      </c>
      <c r="C9" s="7" t="s">
        <v>96</v>
      </c>
    </row>
    <row r="10" ht="49.5" customHeight="1">
      <c r="A10" s="7" t="s">
        <v>97</v>
      </c>
      <c r="B10" s="7" t="s">
        <v>98</v>
      </c>
      <c r="C10" s="7" t="s">
        <v>99</v>
      </c>
    </row>
    <row r="11" ht="49.5" customHeight="1">
      <c r="A11" s="7" t="s">
        <v>100</v>
      </c>
      <c r="B11" s="7" t="s">
        <v>101</v>
      </c>
      <c r="C11" s="7" t="s">
        <v>102</v>
      </c>
    </row>
    <row r="12" ht="49.5" customHeight="1">
      <c r="A12" s="7" t="s">
        <v>103</v>
      </c>
      <c r="B12" s="7" t="s">
        <v>104</v>
      </c>
      <c r="C12" s="7" t="s">
        <v>105</v>
      </c>
    </row>
    <row r="13" ht="49.5" customHeight="1">
      <c r="A13" s="7" t="s">
        <v>106</v>
      </c>
      <c r="B13" s="7" t="s">
        <v>107</v>
      </c>
      <c r="C13" s="7" t="s">
        <v>108</v>
      </c>
    </row>
    <row r="14" ht="49.5" customHeight="1">
      <c r="A14" s="7" t="s">
        <v>109</v>
      </c>
      <c r="B14" s="7" t="s">
        <v>110</v>
      </c>
      <c r="C14" s="7" t="s">
        <v>111</v>
      </c>
    </row>
    <row r="15" ht="49.5" customHeight="1">
      <c r="A15" s="7" t="s">
        <v>112</v>
      </c>
      <c r="B15" s="7" t="s">
        <v>113</v>
      </c>
      <c r="C15" s="7" t="s">
        <v>114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